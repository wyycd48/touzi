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宣传物料进度" sheetId="2" state="visible" r:id="rId2"/>
    <sheet xmlns:r="http://schemas.openxmlformats.org/officeDocument/2006/relationships" name="渠道投放计划" sheetId="3" state="visible" r:id="rId3"/>
    <sheet xmlns:r="http://schemas.openxmlformats.org/officeDocument/2006/relationships" name="KOL合作清单" sheetId="4" state="visible" r:id="rId4"/>
    <sheet xmlns:r="http://schemas.openxmlformats.org/officeDocument/2006/relationships" name="宣传时间线" sheetId="5" state="visible" r:id="rId5"/>
    <sheet xmlns:r="http://schemas.openxmlformats.org/officeDocument/2006/relationships" name="预算跟踪" sheetId="6" state="visible" r:id="rId6"/>
    <sheet xmlns:r="http://schemas.openxmlformats.org/officeDocument/2006/relationships" name="数据指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6">
    <font>
      <name val="Calibri"/>
      <family val="2"/>
      <color theme="1"/>
      <sz val="11"/>
      <scheme val="minor"/>
    </font>
    <font>
      <name val="Microsoft YaHei"/>
      <b val="1"/>
      <color rgb="00d4af37"/>
      <sz val="20"/>
    </font>
    <font>
      <name val="Microsoft YaHei"/>
      <i val="1"/>
      <color rgb="00888888"/>
      <sz val="11"/>
    </font>
    <font>
      <name val="Microsoft YaHei"/>
      <b val="1"/>
      <color rgb="00d4af37"/>
      <sz val="13"/>
    </font>
    <font>
      <name val="Microsoft YaHei"/>
      <b val="1"/>
      <color rgb="00888888"/>
      <sz val="10"/>
    </font>
    <font>
      <name val="Microsoft YaHei"/>
      <color rgb="00FFFFFF"/>
      <sz val="10"/>
    </font>
    <font>
      <name val="Microsoft YaHei"/>
      <b val="1"/>
      <color rgb="00d4af37"/>
      <sz val="28"/>
    </font>
    <font>
      <name val="Microsoft YaHei"/>
      <color rgb="00888888"/>
      <sz val="11"/>
    </font>
    <font>
      <name val="Microsoft YaHei"/>
      <b val="1"/>
      <color rgb="000d0d1a"/>
      <sz val="10"/>
    </font>
    <font>
      <name val="Microsoft YaHei"/>
      <b val="1"/>
      <color rgb="002e7d32"/>
      <sz val="10"/>
    </font>
    <font>
      <name val="Microsoft YaHei"/>
      <b val="1"/>
      <color rgb="00f57f17"/>
      <sz val="10"/>
    </font>
    <font>
      <name val="Microsoft YaHei"/>
      <b val="1"/>
      <color rgb="00e94560"/>
      <sz val="18"/>
    </font>
    <font>
      <name val="Microsoft YaHei"/>
      <b val="1"/>
      <color rgb="00FFFFFF"/>
      <sz val="10"/>
    </font>
    <font>
      <name val="Microsoft YaHei"/>
      <b val="1"/>
      <color rgb="001565c0"/>
      <sz val="10"/>
    </font>
    <font>
      <name val="Microsoft YaHei"/>
      <b val="1"/>
      <color rgb="00d4af37"/>
      <sz val="12"/>
    </font>
    <font>
      <name val="Microsoft YaHei"/>
      <b val="1"/>
      <color rgb="00d4af37"/>
      <sz val="14"/>
    </font>
    <font>
      <name val="Microsoft YaHei"/>
      <color rgb="00888888"/>
      <sz val="10"/>
    </font>
    <font>
      <name val="Microsoft YaHei"/>
      <b val="1"/>
      <color rgb="005b6abf"/>
      <sz val="18"/>
    </font>
    <font>
      <name val="Microsoft YaHei"/>
      <b val="1"/>
      <color rgb="00d4af37"/>
      <sz val="11"/>
    </font>
    <font>
      <name val="Microsoft YaHei"/>
      <b val="1"/>
      <color rgb="004caf50"/>
      <sz val="18"/>
    </font>
    <font>
      <name val="Microsoft YaHei"/>
      <b val="1"/>
      <color rgb="00d4af37"/>
      <sz val="10"/>
    </font>
    <font>
      <name val="Microsoft YaHei"/>
      <b val="1"/>
      <color rgb="00ff9800"/>
      <sz val="18"/>
    </font>
    <font>
      <name val="Microsoft YaHei"/>
      <b val="1"/>
      <color rgb="00d4af37"/>
      <sz val="18"/>
    </font>
    <font>
      <name val="Microsoft YaHei"/>
      <b val="1"/>
      <color rgb="004caf50"/>
      <sz val="10"/>
    </font>
    <font>
      <name val="Microsoft YaHei"/>
      <b val="1"/>
      <color rgb="00e94560"/>
      <sz val="10"/>
    </font>
    <font>
      <name val="Microsoft YaHei"/>
      <b val="1"/>
      <color rgb="004caf50"/>
      <sz val="12"/>
    </font>
  </fonts>
  <fills count="10">
    <fill>
      <patternFill/>
    </fill>
    <fill>
      <patternFill patternType="gray125"/>
    </fill>
    <fill>
      <patternFill patternType="solid">
        <fgColor rgb="000d0d1a"/>
        <bgColor rgb="000d0d1a"/>
      </patternFill>
    </fill>
    <fill>
      <patternFill patternType="solid">
        <fgColor rgb="00111122"/>
        <bgColor rgb="00111122"/>
      </patternFill>
    </fill>
    <fill>
      <patternFill patternType="solid">
        <fgColor rgb="00d4af37"/>
        <bgColor rgb="00d4af37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  <fill>
      <patternFill patternType="solid">
        <fgColor rgb="001a1a2e"/>
        <bgColor rgb="001a1a2e"/>
      </patternFill>
    </fill>
    <fill>
      <patternFill patternType="solid">
        <fgColor rgb="00e3f2fd"/>
        <bgColor rgb="00e3f2fd"/>
      </patternFill>
    </fill>
  </fills>
  <borders count="5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/>
      <diagonal/>
    </border>
    <border>
      <left/>
      <right style="thin">
        <color rgb="00333333"/>
      </right>
      <top style="thin">
        <color rgb="00333333"/>
      </top>
      <bottom style="thin">
        <color rgb="00333333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right" vertical="center" wrapText="1"/>
    </xf>
    <xf numFmtId="164" fontId="1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164" fontId="12" fillId="3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3" borderId="0" pivotButton="0" quotePrefix="0" xfId="0"/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3" fontId="12" fillId="2" borderId="1" applyAlignment="1" pivotButton="0" quotePrefix="0" xfId="0">
      <alignment horizontal="right" vertical="center" wrapText="1"/>
    </xf>
    <xf numFmtId="3" fontId="12" fillId="3" borderId="1" applyAlignment="1" pivotButton="0" quotePrefix="0" xfId="0">
      <alignment horizontal="right" vertical="center" wrapText="1"/>
    </xf>
    <xf numFmtId="0" fontId="18" fillId="3" borderId="1" pivotButton="0" quotePrefix="0" xfId="0"/>
    <xf numFmtId="3" fontId="14" fillId="3" borderId="1" applyAlignment="1" pivotButton="0" quotePrefix="0" xfId="0">
      <alignment horizontal="right" vertical="center"/>
    </xf>
    <xf numFmtId="0" fontId="19" fillId="2" borderId="0" applyAlignment="1" pivotButton="0" quotePrefix="0" xfId="0">
      <alignment horizontal="center" vertical="center"/>
    </xf>
    <xf numFmtId="0" fontId="20" fillId="2" borderId="1" applyAlignment="1" pivotButton="0" quotePrefix="0" xfId="0">
      <alignment horizontal="right" vertical="center" wrapText="1"/>
    </xf>
    <xf numFmtId="0" fontId="20" fillId="3" borderId="1" applyAlignment="1" pivotButton="0" quotePrefix="0" xfId="0">
      <alignment horizontal="right" vertical="center" wrapText="1"/>
    </xf>
    <xf numFmtId="0" fontId="21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3" fontId="23" fillId="2" borderId="1" applyAlignment="1" pivotButton="0" quotePrefix="0" xfId="0">
      <alignment horizontal="right" vertical="center" wrapText="1"/>
    </xf>
    <xf numFmtId="9" fontId="20" fillId="2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3" fontId="23" fillId="3" borderId="1" applyAlignment="1" pivotButton="0" quotePrefix="0" xfId="0">
      <alignment horizontal="right" vertical="center" wrapText="1"/>
    </xf>
    <xf numFmtId="9" fontId="20" fillId="3" borderId="1" applyAlignment="1" pivotButton="0" quotePrefix="0" xfId="0">
      <alignment horizontal="center" vertical="center" wrapText="1"/>
    </xf>
    <xf numFmtId="3" fontId="24" fillId="2" borderId="1" applyAlignment="1" pivotButton="0" quotePrefix="0" xfId="0">
      <alignment horizontal="right" vertical="center" wrapText="1"/>
    </xf>
    <xf numFmtId="0" fontId="14" fillId="3" borderId="1" applyAlignment="1" pivotButton="0" quotePrefix="0" xfId="0">
      <alignment horizontal="center" vertical="center"/>
    </xf>
    <xf numFmtId="0" fontId="0" fillId="0" borderId="4" pivotButton="0" quotePrefix="0" xfId="0"/>
    <xf numFmtId="3" fontId="25" fillId="3" borderId="1" applyAlignment="1" pivotButton="0" quotePrefix="0" xfId="0">
      <alignment horizontal="right" vertical="center"/>
    </xf>
    <xf numFmtId="9" fontId="14" fillId="3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20" customWidth="1" min="5" max="5"/>
    <col width="30" customWidth="1" min="6" max="6"/>
  </cols>
  <sheetData>
    <row r="1" ht="48" customHeight="1">
      <c r="A1" s="1" t="inlineStr">
        <is>
          <t>AI短剧宣发项目概览</t>
        </is>
      </c>
    </row>
    <row r="2">
      <c r="A2" s="2" t="inlineStr">
        <is>
          <t>Promotion Dashboard · AI Short Drama</t>
        </is>
      </c>
    </row>
    <row r="4" ht="28" customHeight="1">
      <c r="A4" s="3" t="inlineStr">
        <is>
          <t xml:space="preserve">  基本信息</t>
        </is>
      </c>
      <c r="B4" s="4" t="n"/>
      <c r="C4" s="4" t="n"/>
      <c r="D4" s="4" t="n"/>
      <c r="E4" s="4" t="n"/>
      <c r="F4" s="4" t="n"/>
    </row>
    <row r="5" ht="30" customHeight="1">
      <c r="A5" s="5" t="inlineStr">
        <is>
          <t>项目名称</t>
        </is>
      </c>
      <c r="B5" s="6" t="inlineStr">
        <is>
          <t>《投掷》</t>
        </is>
      </c>
      <c r="C5" s="5" t="inlineStr">
        <is>
          <t>项目类型</t>
        </is>
      </c>
      <c r="D5" s="6" t="inlineStr">
        <is>
          <t>AI动画 · 玄幻冒险</t>
        </is>
      </c>
    </row>
    <row r="6" ht="30" customHeight="1">
      <c r="A6" s="5" t="inlineStr">
        <is>
          <t>出品方</t>
        </is>
      </c>
      <c r="B6" s="6" t="inlineStr">
        <is>
          <t>星尘动画工作室</t>
        </is>
      </c>
      <c r="C6" s="5" t="inlineStr">
        <is>
          <t>播出平台</t>
        </is>
      </c>
      <c r="D6" s="6" t="inlineStr">
        <is>
          <t>B站 · 腾讯视频</t>
        </is>
      </c>
    </row>
    <row r="7" ht="30" customHeight="1">
      <c r="A7" s="5" t="inlineStr">
        <is>
          <t>首播日期</t>
        </is>
      </c>
      <c r="B7" s="6" t="inlineStr">
        <is>
          <t>2026-08-15</t>
        </is>
      </c>
      <c r="C7" s="5" t="inlineStr">
        <is>
          <t>更新周期</t>
        </is>
      </c>
      <c r="D7" s="6" t="inlineStr">
        <is>
          <t>每周六 20:00</t>
        </is>
      </c>
    </row>
    <row r="8" ht="30" customHeight="1">
      <c r="A8" s="5" t="inlineStr">
        <is>
          <t>总集数</t>
        </is>
      </c>
      <c r="B8" s="6" t="inlineStr">
        <is>
          <t>12集 × 15分钟</t>
        </is>
      </c>
      <c r="C8" s="5" t="inlineStr">
        <is>
          <t>宣传负责人</t>
        </is>
      </c>
      <c r="D8" s="6" t="inlineStr">
        <is>
          <t>宣发组</t>
        </is>
      </c>
    </row>
    <row r="9" ht="30" customHeight="1">
      <c r="A9" s="5" t="inlineStr">
        <is>
          <t>项目状态</t>
        </is>
      </c>
      <c r="B9" s="6" t="inlineStr">
        <is>
          <t>宣发进行中</t>
        </is>
      </c>
      <c r="C9" s="5" t="inlineStr">
        <is>
          <t>当前阶段</t>
        </is>
      </c>
      <c r="D9" s="6" t="inlineStr">
        <is>
          <t>预热期</t>
        </is>
      </c>
    </row>
    <row r="11" ht="28" customHeight="1">
      <c r="A11" s="3" t="inlineStr">
        <is>
          <t xml:space="preserve">  核心指标</t>
        </is>
      </c>
      <c r="B11" s="4" t="n"/>
      <c r="C11" s="4" t="n"/>
      <c r="D11" s="4" t="n"/>
      <c r="E11" s="4" t="n"/>
      <c r="F11" s="4" t="n"/>
    </row>
    <row r="12" ht="50" customHeight="1">
      <c r="A12" s="7" t="inlineStr">
        <is>
          <t>68%</t>
        </is>
      </c>
      <c r="B12" s="8" t="n"/>
      <c r="C12" s="7" t="inlineStr">
        <is>
          <t>12项</t>
        </is>
      </c>
      <c r="D12" s="8" t="n"/>
      <c r="E12" s="7" t="inlineStr">
        <is>
          <t>5个</t>
        </is>
      </c>
      <c r="F12" s="8" t="n"/>
    </row>
    <row r="13" ht="26" customHeight="1">
      <c r="A13" s="9" t="inlineStr">
        <is>
          <t>总进度</t>
        </is>
      </c>
      <c r="B13" s="10" t="n"/>
      <c r="C13" s="9" t="inlineStr">
        <is>
          <t>已完成物料</t>
        </is>
      </c>
      <c r="D13" s="10" t="n"/>
      <c r="E13" s="9" t="inlineStr">
        <is>
          <t>活跃渠道</t>
        </is>
      </c>
      <c r="F13" s="10" t="n"/>
    </row>
    <row r="15" ht="28" customHeight="1">
      <c r="A15" s="3" t="inlineStr">
        <is>
          <t xml:space="preserve">  宣传阶段状态</t>
        </is>
      </c>
      <c r="B15" s="4" t="n"/>
      <c r="C15" s="4" t="n"/>
      <c r="D15" s="4" t="n"/>
      <c r="E15" s="4" t="n"/>
      <c r="F15" s="4" t="n"/>
    </row>
    <row r="16">
      <c r="A16" s="11" t="inlineStr">
        <is>
          <t>阶段</t>
        </is>
      </c>
      <c r="B16" s="11" t="inlineStr">
        <is>
          <t>时间范围</t>
        </is>
      </c>
      <c r="C16" s="11" t="inlineStr">
        <is>
          <t>关键事项</t>
        </is>
      </c>
      <c r="D16" s="11" t="inlineStr">
        <is>
          <t>进度</t>
        </is>
      </c>
      <c r="E16" s="11" t="inlineStr">
        <is>
          <t>状态</t>
        </is>
      </c>
      <c r="F16" s="11" t="inlineStr">
        <is>
          <t>负责人</t>
        </is>
      </c>
    </row>
    <row r="17">
      <c r="A17" s="12" t="inlineStr">
        <is>
          <t>预热期</t>
        </is>
      </c>
      <c r="B17" s="12" t="inlineStr">
        <is>
          <t>07/01-07/25</t>
        </is>
      </c>
      <c r="C17" s="12" t="inlineStr">
        <is>
          <t>概念海报·先导预告·话题预热</t>
        </is>
      </c>
      <c r="D17" s="12" t="inlineStr">
        <is>
          <t>100%</t>
        </is>
      </c>
      <c r="E17" s="13" t="inlineStr">
        <is>
          <t>已完成</t>
        </is>
      </c>
      <c r="F17" s="12" t="inlineStr">
        <is>
          <t>设计组</t>
        </is>
      </c>
    </row>
    <row r="18">
      <c r="A18" s="14" t="inlineStr">
        <is>
          <t>定档期</t>
        </is>
      </c>
      <c r="B18" s="14" t="inlineStr">
        <is>
          <t>07/22-08/05</t>
        </is>
      </c>
      <c r="C18" s="14" t="inlineStr">
        <is>
          <t>定档海报·发布会·媒体通稿</t>
        </is>
      </c>
      <c r="D18" s="14" t="inlineStr">
        <is>
          <t>60%</t>
        </is>
      </c>
      <c r="E18" s="15" t="inlineStr">
        <is>
          <t>进行中</t>
        </is>
      </c>
      <c r="F18" s="14" t="inlineStr">
        <is>
          <t>宣发组</t>
        </is>
      </c>
    </row>
    <row r="19">
      <c r="A19" s="12" t="inlineStr">
        <is>
          <t>上映期</t>
        </is>
      </c>
      <c r="B19" s="12" t="inlineStr">
        <is>
          <t>08/01-08/18</t>
        </is>
      </c>
      <c r="C19" s="12" t="inlineStr">
        <is>
          <t>首映礼·正片上线·追剧日历</t>
        </is>
      </c>
      <c r="D19" s="12" t="inlineStr">
        <is>
          <t>20%</t>
        </is>
      </c>
      <c r="E19" s="15" t="inlineStr">
        <is>
          <t>进行中</t>
        </is>
      </c>
      <c r="F19" s="12" t="inlineStr">
        <is>
          <t>宣发组</t>
        </is>
      </c>
    </row>
    <row r="20">
      <c r="A20" s="14" t="inlineStr">
        <is>
          <t>热播期</t>
        </is>
      </c>
      <c r="B20" s="14" t="inlineStr">
        <is>
          <t>08/12-08/30</t>
        </is>
      </c>
      <c r="C20" s="14" t="inlineStr">
        <is>
          <t>花絮特辑·话题运营·二创活动</t>
        </is>
      </c>
      <c r="D20" s="14" t="inlineStr">
        <is>
          <t>0%</t>
        </is>
      </c>
      <c r="E20" s="16" t="inlineStr">
        <is>
          <t>待启动</t>
        </is>
      </c>
      <c r="F20" s="14" t="inlineStr">
        <is>
          <t>运营组</t>
        </is>
      </c>
    </row>
    <row r="21">
      <c r="A21" s="12" t="inlineStr">
        <is>
          <t>收官期</t>
        </is>
      </c>
      <c r="B21" s="12" t="inlineStr">
        <is>
          <t>08/25-09/10</t>
        </is>
      </c>
      <c r="C21" s="12" t="inlineStr">
        <is>
          <t>收官海报·数据总结·感谢特辑</t>
        </is>
      </c>
      <c r="D21" s="12" t="inlineStr">
        <is>
          <t>0%</t>
        </is>
      </c>
      <c r="E21" s="16" t="inlineStr">
        <is>
          <t>待启动</t>
        </is>
      </c>
      <c r="F21" s="12" t="inlineStr">
        <is>
          <t>宣发组</t>
        </is>
      </c>
    </row>
  </sheetData>
  <mergeCells count="11">
    <mergeCell ref="A2:F2"/>
    <mergeCell ref="A11:F11"/>
    <mergeCell ref="C12:D12"/>
    <mergeCell ref="E12:F12"/>
    <mergeCell ref="A1:F1"/>
    <mergeCell ref="A13:B13"/>
    <mergeCell ref="E13:F13"/>
    <mergeCell ref="C13:D13"/>
    <mergeCell ref="A4:F4"/>
    <mergeCell ref="A15:F15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560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42" customHeight="1">
      <c r="A1" s="17" t="inlineStr">
        <is>
          <t>AI短剧宣发 · 宣传物料进度表</t>
        </is>
      </c>
    </row>
    <row r="2">
      <c r="A2" s="18" t="inlineStr">
        <is>
          <t>序号</t>
        </is>
      </c>
      <c r="B2" s="18" t="inlineStr">
        <is>
          <t>物料名称</t>
        </is>
      </c>
      <c r="C2" s="18" t="inlineStr">
        <is>
          <t>类型</t>
        </is>
      </c>
      <c r="D2" s="18" t="inlineStr">
        <is>
          <t>负责人</t>
        </is>
      </c>
      <c r="E2" s="18" t="inlineStr">
        <is>
          <t>计划完成</t>
        </is>
      </c>
      <c r="F2" s="18" t="inlineStr">
        <is>
          <t>实际完成</t>
        </is>
      </c>
      <c r="G2" s="18" t="inlineStr">
        <is>
          <t>进度(%)</t>
        </is>
      </c>
      <c r="H2" s="18" t="inlineStr">
        <is>
          <t>状态</t>
        </is>
      </c>
    </row>
    <row r="3">
      <c r="A3" s="12" t="n">
        <v>1</v>
      </c>
      <c r="B3" s="12" t="inlineStr">
        <is>
          <t>概念海报</t>
        </is>
      </c>
      <c r="C3" s="12" t="inlineStr">
        <is>
          <t>海报</t>
        </is>
      </c>
      <c r="D3" s="12" t="inlineStr">
        <is>
          <t>设计组</t>
        </is>
      </c>
      <c r="E3" s="19" t="inlineStr">
        <is>
          <t>2026-07-20</t>
        </is>
      </c>
      <c r="F3" s="19" t="inlineStr">
        <is>
          <t>2026-07-18</t>
        </is>
      </c>
      <c r="G3" s="20" t="n">
        <v>100</v>
      </c>
      <c r="H3" s="13" t="n"/>
    </row>
    <row r="4">
      <c r="A4" s="14" t="n">
        <v>2</v>
      </c>
      <c r="B4" s="14" t="inlineStr">
        <is>
          <t>角色海报（全套）</t>
        </is>
      </c>
      <c r="C4" s="14" t="inlineStr">
        <is>
          <t>海报</t>
        </is>
      </c>
      <c r="D4" s="14" t="inlineStr">
        <is>
          <t>设计组</t>
        </is>
      </c>
      <c r="E4" s="21" t="inlineStr">
        <is>
          <t>2026-08-01</t>
        </is>
      </c>
      <c r="F4" s="21" t="inlineStr">
        <is>
          <t>2026-07-28</t>
        </is>
      </c>
      <c r="G4" s="22" t="n">
        <v>100</v>
      </c>
      <c r="H4" s="13" t="n"/>
    </row>
    <row r="5">
      <c r="A5" s="12" t="n">
        <v>3</v>
      </c>
      <c r="B5" s="12" t="inlineStr">
        <is>
          <t>正式定档海报</t>
        </is>
      </c>
      <c r="C5" s="12" t="inlineStr">
        <is>
          <t>海报</t>
        </is>
      </c>
      <c r="D5" s="12" t="inlineStr">
        <is>
          <t>设计组</t>
        </is>
      </c>
      <c r="E5" s="19" t="inlineStr">
        <is>
          <t>2026-08-05</t>
        </is>
      </c>
      <c r="F5" s="19" t="inlineStr"/>
      <c r="G5" s="20" t="n">
        <v>60</v>
      </c>
      <c r="H5" s="15" t="n"/>
    </row>
    <row r="6">
      <c r="A6" s="14" t="n">
        <v>4</v>
      </c>
      <c r="B6" s="14" t="inlineStr">
        <is>
          <t>倒计时海报×7</t>
        </is>
      </c>
      <c r="C6" s="14" t="inlineStr">
        <is>
          <t>海报</t>
        </is>
      </c>
      <c r="D6" s="14" t="inlineStr">
        <is>
          <t>设计组</t>
        </is>
      </c>
      <c r="E6" s="21" t="inlineStr">
        <is>
          <t>2026-08-08</t>
        </is>
      </c>
      <c r="F6" s="21" t="inlineStr"/>
      <c r="G6" s="22" t="n">
        <v>20</v>
      </c>
      <c r="H6" s="15" t="n"/>
    </row>
    <row r="7">
      <c r="A7" s="12" t="n">
        <v>5</v>
      </c>
      <c r="B7" s="12" t="inlineStr">
        <is>
          <t>先导预告片</t>
        </is>
      </c>
      <c r="C7" s="12" t="inlineStr">
        <is>
          <t>预告片</t>
        </is>
      </c>
      <c r="D7" s="12" t="inlineStr">
        <is>
          <t>剪辑组</t>
        </is>
      </c>
      <c r="E7" s="19" t="inlineStr">
        <is>
          <t>2026-07-25</t>
        </is>
      </c>
      <c r="F7" s="19" t="inlineStr">
        <is>
          <t>2026-07-22</t>
        </is>
      </c>
      <c r="G7" s="20" t="n">
        <v>100</v>
      </c>
      <c r="H7" s="13" t="n"/>
    </row>
    <row r="8">
      <c r="A8" s="14" t="n">
        <v>6</v>
      </c>
      <c r="B8" s="14" t="inlineStr">
        <is>
          <t>定档预告片</t>
        </is>
      </c>
      <c r="C8" s="14" t="inlineStr">
        <is>
          <t>预告片</t>
        </is>
      </c>
      <c r="D8" s="14" t="inlineStr">
        <is>
          <t>剪辑组</t>
        </is>
      </c>
      <c r="E8" s="21" t="inlineStr">
        <is>
          <t>2026-08-05</t>
        </is>
      </c>
      <c r="F8" s="21" t="inlineStr"/>
      <c r="G8" s="22" t="n">
        <v>45</v>
      </c>
      <c r="H8" s="15" t="n"/>
    </row>
    <row r="9">
      <c r="A9" s="12" t="n">
        <v>7</v>
      </c>
      <c r="B9" s="12" t="inlineStr">
        <is>
          <t>终极预告片</t>
        </is>
      </c>
      <c r="C9" s="12" t="inlineStr">
        <is>
          <t>预告片</t>
        </is>
      </c>
      <c r="D9" s="12" t="inlineStr">
        <is>
          <t>剪辑组</t>
        </is>
      </c>
      <c r="E9" s="19" t="inlineStr">
        <is>
          <t>2026-08-12</t>
        </is>
      </c>
      <c r="F9" s="19" t="inlineStr"/>
      <c r="G9" s="20" t="n">
        <v>10</v>
      </c>
      <c r="H9" s="23" t="n"/>
    </row>
    <row r="10">
      <c r="A10" s="14" t="n">
        <v>8</v>
      </c>
      <c r="B10" s="14" t="inlineStr">
        <is>
          <t>剧照×20张</t>
        </is>
      </c>
      <c r="C10" s="14" t="inlineStr">
        <is>
          <t>剧照</t>
        </is>
      </c>
      <c r="D10" s="14" t="inlineStr">
        <is>
          <t>摄影组</t>
        </is>
      </c>
      <c r="E10" s="21" t="inlineStr">
        <is>
          <t>2026-07-30</t>
        </is>
      </c>
      <c r="F10" s="21" t="inlineStr">
        <is>
          <t>2026-07-26</t>
        </is>
      </c>
      <c r="G10" s="22" t="n">
        <v>100</v>
      </c>
      <c r="H10" s="13" t="n"/>
    </row>
    <row r="11">
      <c r="A11" s="12" t="n">
        <v>9</v>
      </c>
      <c r="B11" s="12" t="inlineStr">
        <is>
          <t>幕后花絮×3</t>
        </is>
      </c>
      <c r="C11" s="12" t="inlineStr">
        <is>
          <t>花絮</t>
        </is>
      </c>
      <c r="D11" s="12" t="inlineStr">
        <is>
          <t>剪辑组</t>
        </is>
      </c>
      <c r="E11" s="19" t="inlineStr">
        <is>
          <t>2026-08-10</t>
        </is>
      </c>
      <c r="F11" s="19" t="inlineStr"/>
      <c r="G11" s="20" t="n">
        <v>30</v>
      </c>
      <c r="H11" s="15" t="n"/>
    </row>
    <row r="12">
      <c r="A12" s="14" t="n">
        <v>10</v>
      </c>
      <c r="B12" s="14" t="inlineStr">
        <is>
          <t>角色特辑×3</t>
        </is>
      </c>
      <c r="C12" s="14" t="inlineStr">
        <is>
          <t>特辑</t>
        </is>
      </c>
      <c r="D12" s="14" t="inlineStr">
        <is>
          <t>文案组</t>
        </is>
      </c>
      <c r="E12" s="21" t="inlineStr">
        <is>
          <t>2026-08-15</t>
        </is>
      </c>
      <c r="F12" s="21" t="inlineStr"/>
      <c r="G12" s="22" t="n">
        <v>0</v>
      </c>
      <c r="H12" s="23" t="n"/>
    </row>
    <row r="13">
      <c r="A13" s="12" t="n">
        <v>11</v>
      </c>
      <c r="B13" s="12" t="inlineStr">
        <is>
          <t>主题曲MV</t>
        </is>
      </c>
      <c r="C13" s="12" t="inlineStr">
        <is>
          <t>音乐</t>
        </is>
      </c>
      <c r="D13" s="12" t="inlineStr">
        <is>
          <t>音乐组</t>
        </is>
      </c>
      <c r="E13" s="19" t="inlineStr">
        <is>
          <t>2026-08-08</t>
        </is>
      </c>
      <c r="F13" s="19" t="inlineStr"/>
      <c r="G13" s="20" t="n">
        <v>70</v>
      </c>
      <c r="H13" s="15" t="n"/>
    </row>
    <row r="14">
      <c r="A14" s="14" t="n">
        <v>12</v>
      </c>
      <c r="B14" s="14" t="inlineStr">
        <is>
          <t>收官感谢视频</t>
        </is>
      </c>
      <c r="C14" s="14" t="inlineStr">
        <is>
          <t>视频</t>
        </is>
      </c>
      <c r="D14" s="14" t="inlineStr">
        <is>
          <t>剪辑组</t>
        </is>
      </c>
      <c r="E14" s="21" t="inlineStr">
        <is>
          <t>2026-09-10</t>
        </is>
      </c>
      <c r="F14" s="21" t="inlineStr"/>
      <c r="G14" s="22" t="n">
        <v>0</v>
      </c>
      <c r="H14" s="16" t="n"/>
    </row>
    <row r="17">
      <c r="A17" s="24" t="inlineStr">
        <is>
          <t xml:space="preserve">  统计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25">
        <f>COUNTA(B3:B14)</f>
        <v/>
      </c>
      <c r="B18" s="10" t="n"/>
      <c r="C18" s="25">
        <f>COUNTIF(H3:H14,"已完成")</f>
        <v/>
      </c>
      <c r="D18" s="10" t="n"/>
      <c r="E18" s="25">
        <f>COUNTIF(H3:H14,"进行中")</f>
        <v/>
      </c>
      <c r="F18" s="10" t="n"/>
      <c r="G18" s="25">
        <f>AVERAGE(G3:G14)</f>
        <v/>
      </c>
      <c r="H18" s="10" t="n"/>
    </row>
    <row r="19">
      <c r="A19" s="26" t="inlineStr">
        <is>
          <t>总物料数</t>
        </is>
      </c>
      <c r="B19" s="10" t="n"/>
      <c r="C19" s="26" t="inlineStr">
        <is>
          <t>已完成</t>
        </is>
      </c>
      <c r="D19" s="10" t="n"/>
      <c r="E19" s="26" t="inlineStr">
        <is>
          <t>进行中</t>
        </is>
      </c>
      <c r="F19" s="10" t="n"/>
      <c r="G19" s="26" t="inlineStr">
        <is>
          <t>平均进度</t>
        </is>
      </c>
      <c r="H19" s="10" t="n"/>
    </row>
  </sheetData>
  <mergeCells count="9">
    <mergeCell ref="A1:H1"/>
    <mergeCell ref="A19:B19"/>
    <mergeCell ref="E19:F19"/>
    <mergeCell ref="C19:D19"/>
    <mergeCell ref="G19:H19"/>
    <mergeCell ref="C18:D18"/>
    <mergeCell ref="A18:B18"/>
    <mergeCell ref="G18:H18"/>
    <mergeCell ref="E18:F18"/>
  </mergeCells>
  <dataValidations count="1">
    <dataValidation sqref="H3:H15" showDropDown="0" showInputMessage="0" showErrorMessage="0" allowBlank="1" type="list">
      <formula1>"已完成,进行中,规划中,待启动"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6abf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8" customWidth="1" min="4" max="4"/>
    <col width="22" customWidth="1" min="5" max="5"/>
    <col width="16" customWidth="1" min="6" max="6"/>
    <col width="14" customWidth="1" min="7" max="7"/>
    <col width="14" customWidth="1" min="8" max="8"/>
  </cols>
  <sheetData>
    <row r="1" ht="42" customHeight="1">
      <c r="A1" s="27" t="inlineStr">
        <is>
          <t>AI短剧宣发 · 渠道投放计划表</t>
        </is>
      </c>
    </row>
    <row r="2">
      <c r="A2" s="18" t="inlineStr">
        <is>
          <t>序号</t>
        </is>
      </c>
      <c r="B2" s="18" t="inlineStr">
        <is>
          <t>渠道名称</t>
        </is>
      </c>
      <c r="C2" s="18" t="inlineStr">
        <is>
          <t>发布内容</t>
        </is>
      </c>
      <c r="D2" s="18" t="inlineStr">
        <is>
          <t>计划时间</t>
        </is>
      </c>
      <c r="E2" s="18" t="inlineStr">
        <is>
          <t>目标人群</t>
        </is>
      </c>
      <c r="F2" s="18" t="inlineStr">
        <is>
          <t>预算(元)</t>
        </is>
      </c>
      <c r="G2" s="18" t="inlineStr">
        <is>
          <t>实际成本</t>
        </is>
      </c>
      <c r="H2" s="18" t="inlineStr">
        <is>
          <t>状态</t>
        </is>
      </c>
    </row>
    <row r="3">
      <c r="A3" s="12" t="n">
        <v>1</v>
      </c>
      <c r="B3" s="12" t="inlineStr">
        <is>
          <t>微博</t>
        </is>
      </c>
      <c r="C3" s="12" t="inlineStr">
        <is>
          <t>定档海报+话题热搜+抽奖活动</t>
        </is>
      </c>
      <c r="D3" s="12" t="inlineStr">
        <is>
          <t>08/01-08/20</t>
        </is>
      </c>
      <c r="E3" s="12" t="inlineStr">
        <is>
          <t>泛动漫用户</t>
        </is>
      </c>
      <c r="F3" s="28" t="n">
        <v>15000</v>
      </c>
      <c r="G3" s="28" t="n">
        <v>0</v>
      </c>
      <c r="H3" s="15" t="n"/>
    </row>
    <row r="4">
      <c r="A4" s="14" t="n">
        <v>2</v>
      </c>
      <c r="B4" s="14" t="inlineStr">
        <is>
          <t>微博</t>
        </is>
      </c>
      <c r="C4" s="14" t="inlineStr">
        <is>
          <t>KOL转发测评×5</t>
        </is>
      </c>
      <c r="D4" s="14" t="inlineStr">
        <is>
          <t>08/05-08/25</t>
        </is>
      </c>
      <c r="E4" s="14" t="inlineStr">
        <is>
          <t>国漫爱好者</t>
        </is>
      </c>
      <c r="F4" s="29" t="n">
        <v>25000</v>
      </c>
      <c r="G4" s="29" t="n">
        <v>0</v>
      </c>
      <c r="H4" s="15" t="n"/>
    </row>
    <row r="5">
      <c r="A5" s="12" t="n">
        <v>3</v>
      </c>
      <c r="B5" s="12" t="inlineStr">
        <is>
          <t>抖音</t>
        </is>
      </c>
      <c r="C5" s="12" t="inlineStr">
        <is>
          <t>官方账号+达人合作×8</t>
        </is>
      </c>
      <c r="D5" s="12" t="inlineStr">
        <is>
          <t>08/01-09/05</t>
        </is>
      </c>
      <c r="E5" s="12" t="inlineStr">
        <is>
          <t>年轻用户18-30</t>
        </is>
      </c>
      <c r="F5" s="28" t="n">
        <v>30000</v>
      </c>
      <c r="G5" s="28" t="n">
        <v>0</v>
      </c>
      <c r="H5" s="23" t="n"/>
    </row>
    <row r="6">
      <c r="A6" s="14" t="n">
        <v>4</v>
      </c>
      <c r="B6" s="14" t="inlineStr">
        <is>
          <t>抖音</t>
        </is>
      </c>
      <c r="C6" s="14" t="inlineStr">
        <is>
          <t>信息流广告投放</t>
        </is>
      </c>
      <c r="D6" s="14" t="inlineStr">
        <is>
          <t>08/10-09/10</t>
        </is>
      </c>
      <c r="E6" s="14" t="inlineStr">
        <is>
          <t>精准兴趣人群</t>
        </is>
      </c>
      <c r="F6" s="29" t="n">
        <v>20000</v>
      </c>
      <c r="G6" s="29" t="n">
        <v>0</v>
      </c>
      <c r="H6" s="23" t="n"/>
    </row>
    <row r="7">
      <c r="A7" s="12" t="n">
        <v>5</v>
      </c>
      <c r="B7" s="12" t="inlineStr">
        <is>
          <t>小红书</t>
        </is>
      </c>
      <c r="C7" s="12" t="inlineStr">
        <is>
          <t>品牌账号+影视种草</t>
        </is>
      </c>
      <c r="D7" s="12" t="inlineStr">
        <is>
          <t>07/25-09/10</t>
        </is>
      </c>
      <c r="E7" s="12" t="inlineStr">
        <is>
          <t>女性用户20-28</t>
        </is>
      </c>
      <c r="F7" s="28" t="n">
        <v>10000</v>
      </c>
      <c r="G7" s="28" t="n">
        <v>0</v>
      </c>
      <c r="H7" s="15" t="n"/>
    </row>
    <row r="8">
      <c r="A8" s="14" t="n">
        <v>6</v>
      </c>
      <c r="B8" s="14" t="inlineStr">
        <is>
          <t>小红书</t>
        </is>
      </c>
      <c r="C8" s="14" t="inlineStr">
        <is>
          <t>KOC铺量×20篇</t>
        </is>
      </c>
      <c r="D8" s="14" t="inlineStr">
        <is>
          <t>08/05-08/30</t>
        </is>
      </c>
      <c r="E8" s="14" t="inlineStr">
        <is>
          <t>动漫同好圈层</t>
        </is>
      </c>
      <c r="F8" s="29" t="n">
        <v>8000</v>
      </c>
      <c r="G8" s="29" t="n">
        <v>0</v>
      </c>
      <c r="H8" s="23" t="n"/>
    </row>
    <row r="9">
      <c r="A9" s="12" t="n">
        <v>7</v>
      </c>
      <c r="B9" s="12" t="inlineStr">
        <is>
          <t>B站</t>
        </is>
      </c>
      <c r="C9" s="12" t="inlineStr">
        <is>
          <t>官方号运营+专栏推广</t>
        </is>
      </c>
      <c r="D9" s="12" t="inlineStr">
        <is>
          <t>07/15-09/30</t>
        </is>
      </c>
      <c r="E9" s="12" t="inlineStr">
        <is>
          <t>核心二次元</t>
        </is>
      </c>
      <c r="F9" s="28" t="n">
        <v>5000</v>
      </c>
      <c r="G9" s="28" t="n">
        <v>0</v>
      </c>
      <c r="H9" s="13" t="n"/>
    </row>
    <row r="10">
      <c r="A10" s="14" t="n">
        <v>8</v>
      </c>
      <c r="B10" s="14" t="inlineStr">
        <is>
          <t>B站</t>
        </is>
      </c>
      <c r="C10" s="14" t="inlineStr">
        <is>
          <t>UP主合作×6位</t>
        </is>
      </c>
      <c r="D10" s="14" t="inlineStr">
        <is>
          <t>08/10-09/15</t>
        </is>
      </c>
      <c r="E10" s="14" t="inlineStr">
        <is>
          <t>分区粉丝</t>
        </is>
      </c>
      <c r="F10" s="29" t="n">
        <v>35000</v>
      </c>
      <c r="G10" s="29" t="n">
        <v>0</v>
      </c>
      <c r="H10" s="15" t="n"/>
    </row>
    <row r="11">
      <c r="A11" s="12" t="n">
        <v>9</v>
      </c>
      <c r="B11" s="12" t="inlineStr">
        <is>
          <t>微信</t>
        </is>
      </c>
      <c r="C11" s="12" t="inlineStr">
        <is>
          <t>公众号推文×3+视频号</t>
        </is>
      </c>
      <c r="D11" s="12" t="inlineStr">
        <is>
          <t>08/01-09/10</t>
        </is>
      </c>
      <c r="E11" s="12" t="inlineStr">
        <is>
          <t>行业媒体+社群</t>
        </is>
      </c>
      <c r="F11" s="28" t="n">
        <v>5000</v>
      </c>
      <c r="G11" s="28" t="n">
        <v>0</v>
      </c>
      <c r="H11" s="15" t="n"/>
    </row>
    <row r="12">
      <c r="A12" s="14" t="n">
        <v>10</v>
      </c>
      <c r="B12" s="14" t="inlineStr">
        <is>
          <t>微信</t>
        </is>
      </c>
      <c r="C12" s="14" t="inlineStr">
        <is>
          <t>朋友圈广告投放</t>
        </is>
      </c>
      <c r="D12" s="14" t="inlineStr">
        <is>
          <t>08/15-09/10</t>
        </is>
      </c>
      <c r="E12" s="14" t="inlineStr">
        <is>
          <t>社交关系链传播</t>
        </is>
      </c>
      <c r="F12" s="29" t="n">
        <v>15000</v>
      </c>
      <c r="G12" s="29" t="n">
        <v>0</v>
      </c>
      <c r="H12" s="16" t="n"/>
    </row>
    <row r="14">
      <c r="A14" s="30" t="inlineStr">
        <is>
          <t>预算合计</t>
        </is>
      </c>
      <c r="B14" s="8" t="n"/>
      <c r="C14" s="8" t="n"/>
      <c r="D14" s="8" t="n"/>
      <c r="E14" s="8" t="n"/>
      <c r="F14" s="31">
        <f>SUM(F3:F13)</f>
        <v/>
      </c>
      <c r="G14" s="31">
        <f>SUM(G3:G13)</f>
        <v/>
      </c>
      <c r="H14" s="8" t="n"/>
    </row>
  </sheetData>
  <mergeCells count="2">
    <mergeCell ref="A14:E14"/>
    <mergeCell ref="A1:H1"/>
  </mergeCells>
  <dataValidations count="1">
    <dataValidation sqref="H3:H13" showDropDown="0" showInputMessage="0" showErrorMessage="0" allowBlank="1" type="list">
      <formula1>"已完成,进行中,规划中,待启动"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6" customWidth="1" min="4" max="4"/>
    <col width="28" customWidth="1" min="5" max="5"/>
    <col width="18" customWidth="1" min="6" max="6"/>
    <col width="14" customWidth="1" min="7" max="7"/>
    <col width="14" customWidth="1" min="8" max="8"/>
  </cols>
  <sheetData>
    <row r="1" ht="42" customHeight="1">
      <c r="A1" s="32" t="inlineStr">
        <is>
          <t>AI短剧宣发 · KOL/达人合作清单</t>
        </is>
      </c>
    </row>
    <row r="2">
      <c r="A2" s="18" t="inlineStr">
        <is>
          <t>序号</t>
        </is>
      </c>
      <c r="B2" s="18" t="inlineStr">
        <is>
          <t>KOL名称</t>
        </is>
      </c>
      <c r="C2" s="18" t="inlineStr">
        <is>
          <t>平台</t>
        </is>
      </c>
      <c r="D2" s="18" t="inlineStr">
        <is>
          <t>粉丝数</t>
        </is>
      </c>
      <c r="E2" s="18" t="inlineStr">
        <is>
          <t>合作内容</t>
        </is>
      </c>
      <c r="F2" s="18" t="inlineStr">
        <is>
          <t>合作费用</t>
        </is>
      </c>
      <c r="G2" s="18" t="inlineStr">
        <is>
          <t>合作日期</t>
        </is>
      </c>
      <c r="H2" s="18" t="inlineStr">
        <is>
          <t>状态</t>
        </is>
      </c>
    </row>
    <row r="3">
      <c r="A3" s="12" t="n">
        <v>1</v>
      </c>
      <c r="B3" s="12" t="inlineStr">
        <is>
          <t>动漫情报局</t>
        </is>
      </c>
      <c r="C3" s="12" t="inlineStr">
        <is>
          <t>B站</t>
        </is>
      </c>
      <c r="D3" s="12" t="inlineStr">
        <is>
          <t>42万</t>
        </is>
      </c>
      <c r="E3" s="12" t="inlineStr">
        <is>
          <t>首映合作·安利视频</t>
        </is>
      </c>
      <c r="F3" s="33" t="inlineStr">
        <is>
          <t>¥8,000</t>
        </is>
      </c>
      <c r="G3" s="12" t="inlineStr">
        <is>
          <t>08/10</t>
        </is>
      </c>
      <c r="H3" s="15" t="inlineStr">
        <is>
          <t>进行中</t>
        </is>
      </c>
    </row>
    <row r="4">
      <c r="A4" s="14" t="n">
        <v>2</v>
      </c>
      <c r="B4" s="14" t="inlineStr">
        <is>
          <t>影视挖掘机</t>
        </is>
      </c>
      <c r="C4" s="14" t="inlineStr">
        <is>
          <t>微博</t>
        </is>
      </c>
      <c r="D4" s="14" t="inlineStr">
        <is>
          <t>68万</t>
        </is>
      </c>
      <c r="E4" s="14" t="inlineStr">
        <is>
          <t>预告片转发·抽奖联动</t>
        </is>
      </c>
      <c r="F4" s="34" t="inlineStr">
        <is>
          <t>¥12,000</t>
        </is>
      </c>
      <c r="G4" s="14" t="inlineStr">
        <is>
          <t>08/05</t>
        </is>
      </c>
      <c r="H4" s="13" t="inlineStr">
        <is>
          <t>已完成</t>
        </is>
      </c>
    </row>
    <row r="5">
      <c r="A5" s="12" t="n">
        <v>3</v>
      </c>
      <c r="B5" s="12" t="inlineStr">
        <is>
          <t>追番小能手</t>
        </is>
      </c>
      <c r="C5" s="12" t="inlineStr">
        <is>
          <t>B站</t>
        </is>
      </c>
      <c r="D5" s="12" t="inlineStr">
        <is>
          <t>25万</t>
        </is>
      </c>
      <c r="E5" s="12" t="inlineStr">
        <is>
          <t>一集鉴番·深度安利</t>
        </is>
      </c>
      <c r="F5" s="33" t="inlineStr">
        <is>
          <t>¥6,000</t>
        </is>
      </c>
      <c r="G5" s="12" t="inlineStr">
        <is>
          <t>08/18</t>
        </is>
      </c>
      <c r="H5" s="15" t="inlineStr">
        <is>
          <t>进行中</t>
        </is>
      </c>
    </row>
    <row r="6">
      <c r="A6" s="14" t="n">
        <v>4</v>
      </c>
      <c r="B6" s="14" t="inlineStr">
        <is>
          <t>阿花说动画</t>
        </is>
      </c>
      <c r="C6" s="14" t="inlineStr">
        <is>
          <t>小红书</t>
        </is>
      </c>
      <c r="D6" s="14" t="inlineStr">
        <is>
          <t>15万</t>
        </is>
      </c>
      <c r="E6" s="14" t="inlineStr">
        <is>
          <t>图文种草·角色安利</t>
        </is>
      </c>
      <c r="F6" s="34" t="inlineStr">
        <is>
          <t>¥4,000</t>
        </is>
      </c>
      <c r="G6" s="14" t="inlineStr">
        <is>
          <t>08/12</t>
        </is>
      </c>
      <c r="H6" s="23" t="inlineStr">
        <is>
          <t>规划中</t>
        </is>
      </c>
    </row>
    <row r="7">
      <c r="A7" s="12" t="n">
        <v>5</v>
      </c>
      <c r="B7" s="12" t="inlineStr">
        <is>
          <t>老张聊国漫</t>
        </is>
      </c>
      <c r="C7" s="12" t="inlineStr">
        <is>
          <t>抖音</t>
        </is>
      </c>
      <c r="D7" s="12" t="inlineStr">
        <is>
          <t>55万</t>
        </is>
      </c>
      <c r="E7" s="12" t="inlineStr">
        <is>
          <t>直播连麦·短视频合作</t>
        </is>
      </c>
      <c r="F7" s="33" t="inlineStr">
        <is>
          <t>¥15,000</t>
        </is>
      </c>
      <c r="G7" s="12" t="inlineStr">
        <is>
          <t>08/20</t>
        </is>
      </c>
      <c r="H7" s="15" t="inlineStr">
        <is>
          <t>进行中</t>
        </is>
      </c>
    </row>
    <row r="8">
      <c r="A8" s="14" t="n">
        <v>6</v>
      </c>
      <c r="B8" s="14" t="inlineStr">
        <is>
          <t>次元周刊</t>
        </is>
      </c>
      <c r="C8" s="14" t="inlineStr">
        <is>
          <t>公众号</t>
        </is>
      </c>
      <c r="D8" s="14" t="inlineStr">
        <is>
          <t>10万</t>
        </is>
      </c>
      <c r="E8" s="14" t="inlineStr">
        <is>
          <t>专访报道·开播预热</t>
        </is>
      </c>
      <c r="F8" s="34" t="inlineStr">
        <is>
          <t>¥3,000</t>
        </is>
      </c>
      <c r="G8" s="14" t="inlineStr">
        <is>
          <t>08/08</t>
        </is>
      </c>
      <c r="H8" s="13" t="inlineStr">
        <is>
          <t>已完成</t>
        </is>
      </c>
    </row>
    <row r="9">
      <c r="A9" s="12" t="n">
        <v>7</v>
      </c>
      <c r="B9" s="12" t="inlineStr">
        <is>
          <t>小鹿放映厅</t>
        </is>
      </c>
      <c r="C9" s="12" t="inlineStr">
        <is>
          <t>抖音</t>
        </is>
      </c>
      <c r="D9" s="12" t="inlineStr">
        <is>
          <t>35万</t>
        </is>
      </c>
      <c r="E9" s="12" t="inlineStr">
        <is>
          <t>片段解说·观后感</t>
        </is>
      </c>
      <c r="F9" s="33" t="inlineStr">
        <is>
          <t>¥7,000</t>
        </is>
      </c>
      <c r="G9" s="12" t="inlineStr">
        <is>
          <t>08/25</t>
        </is>
      </c>
      <c r="H9" s="23" t="inlineStr">
        <is>
          <t>规划中</t>
        </is>
      </c>
    </row>
    <row r="10">
      <c r="A10" s="14" t="n">
        <v>8</v>
      </c>
      <c r="B10" s="14" t="inlineStr">
        <is>
          <t>国漫新势力</t>
        </is>
      </c>
      <c r="C10" s="14" t="inlineStr">
        <is>
          <t>微博</t>
        </is>
      </c>
      <c r="D10" s="14" t="inlineStr">
        <is>
          <t>22万</t>
        </is>
      </c>
      <c r="E10" s="14" t="inlineStr">
        <is>
          <t>海报转发·话题共创</t>
        </is>
      </c>
      <c r="F10" s="34" t="inlineStr">
        <is>
          <t>¥5,000</t>
        </is>
      </c>
      <c r="G10" s="14" t="inlineStr">
        <is>
          <t>08/02</t>
        </is>
      </c>
      <c r="H10" s="13" t="inlineStr">
        <is>
          <t>已完成</t>
        </is>
      </c>
    </row>
  </sheetData>
  <mergeCells count="1">
    <mergeCell ref="A1:H1"/>
  </mergeCells>
  <dataValidations count="1">
    <dataValidation sqref="H3:H11" showDropDown="0" showInputMessage="0" showErrorMessage="0" allowBlank="1" type="list">
      <formula1>"已完成,进行中,规划中"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40" customWidth="1" min="5" max="5"/>
    <col width="16" customWidth="1" min="6" max="6"/>
    <col width="14" customWidth="1" min="7" max="7"/>
  </cols>
  <sheetData>
    <row r="1" ht="42" customHeight="1">
      <c r="A1" s="35" t="inlineStr">
        <is>
          <t>AI短剧宣发 · 宣传时间线</t>
        </is>
      </c>
    </row>
    <row r="2">
      <c r="A2" s="18" t="inlineStr">
        <is>
          <t>序号</t>
        </is>
      </c>
      <c r="B2" s="18" t="inlineStr">
        <is>
          <t>开始日期</t>
        </is>
      </c>
      <c r="C2" s="18" t="inlineStr">
        <is>
          <t>结束日期</t>
        </is>
      </c>
      <c r="D2" s="18" t="inlineStr">
        <is>
          <t>阶段名称</t>
        </is>
      </c>
      <c r="E2" s="18" t="inlineStr">
        <is>
          <t>关键事项/交付物</t>
        </is>
      </c>
      <c r="F2" s="18" t="inlineStr">
        <is>
          <t>负责人</t>
        </is>
      </c>
      <c r="G2" s="18" t="inlineStr">
        <is>
          <t>状态</t>
        </is>
      </c>
    </row>
    <row r="3">
      <c r="A3" s="12" t="n">
        <v>1</v>
      </c>
      <c r="B3" s="12" t="inlineStr">
        <is>
          <t>2026-07-01</t>
        </is>
      </c>
      <c r="C3" s="12" t="inlineStr">
        <is>
          <t>2026-07-25</t>
        </is>
      </c>
      <c r="D3" s="12" t="inlineStr">
        <is>
          <t>预热期</t>
        </is>
      </c>
      <c r="E3" s="12" t="inlineStr">
        <is>
          <t>概念海报·先导预告·话题预热</t>
        </is>
      </c>
      <c r="F3" s="12" t="inlineStr">
        <is>
          <t>设计组+宣发组</t>
        </is>
      </c>
      <c r="G3" s="13" t="inlineStr">
        <is>
          <t>已完成</t>
        </is>
      </c>
    </row>
    <row r="4">
      <c r="A4" s="14" t="n">
        <v>2</v>
      </c>
      <c r="B4" s="14" t="inlineStr">
        <is>
          <t>2026-07-22</t>
        </is>
      </c>
      <c r="C4" s="14" t="inlineStr">
        <is>
          <t>2026-08-05</t>
        </is>
      </c>
      <c r="D4" s="14" t="inlineStr">
        <is>
          <t>定档期</t>
        </is>
      </c>
      <c r="E4" s="14" t="inlineStr">
        <is>
          <t>定档海报·定档预告·发布会·媒体通稿</t>
        </is>
      </c>
      <c r="F4" s="14" t="inlineStr">
        <is>
          <t>宣发组</t>
        </is>
      </c>
      <c r="G4" s="15" t="inlineStr">
        <is>
          <t>进行中</t>
        </is>
      </c>
    </row>
    <row r="5">
      <c r="A5" s="12" t="n">
        <v>3</v>
      </c>
      <c r="B5" s="12" t="inlineStr">
        <is>
          <t>2026-08-01</t>
        </is>
      </c>
      <c r="C5" s="12" t="inlineStr">
        <is>
          <t>2026-08-18</t>
        </is>
      </c>
      <c r="D5" s="12" t="inlineStr">
        <is>
          <t>上映期</t>
        </is>
      </c>
      <c r="E5" s="12" t="inlineStr">
        <is>
          <t>首映礼·正片上线·追剧日历·弹幕活动</t>
        </is>
      </c>
      <c r="F5" s="12" t="inlineStr">
        <is>
          <t>宣发组+运营组</t>
        </is>
      </c>
      <c r="G5" s="15" t="inlineStr">
        <is>
          <t>进行中</t>
        </is>
      </c>
    </row>
    <row r="6">
      <c r="A6" s="14" t="n">
        <v>4</v>
      </c>
      <c r="B6" s="14" t="inlineStr">
        <is>
          <t>2026-08-12</t>
        </is>
      </c>
      <c r="C6" s="14" t="inlineStr">
        <is>
          <t>2026-08-30</t>
        </is>
      </c>
      <c r="D6" s="14" t="inlineStr">
        <is>
          <t>热播期</t>
        </is>
      </c>
      <c r="E6" s="14" t="inlineStr">
        <is>
          <t>花絮特辑·角色话题·二创大赛·KOL第二波</t>
        </is>
      </c>
      <c r="F6" s="14" t="inlineStr">
        <is>
          <t>运营组</t>
        </is>
      </c>
      <c r="G6" s="16" t="inlineStr">
        <is>
          <t>待启动</t>
        </is>
      </c>
    </row>
    <row r="7">
      <c r="A7" s="12" t="n">
        <v>5</v>
      </c>
      <c r="B7" s="12" t="inlineStr">
        <is>
          <t>2026-08-25</t>
        </is>
      </c>
      <c r="C7" s="12" t="inlineStr">
        <is>
          <t>2026-09-10</t>
        </is>
      </c>
      <c r="D7" s="12" t="inlineStr">
        <is>
          <t>收官期</t>
        </is>
      </c>
      <c r="E7" s="12" t="inlineStr">
        <is>
          <t>收官海报·数据战报·感谢特辑·复盘</t>
        </is>
      </c>
      <c r="F7" s="12" t="inlineStr">
        <is>
          <t>宣发组</t>
        </is>
      </c>
      <c r="G7" s="16" t="inlineStr">
        <is>
          <t>待启动</t>
        </is>
      </c>
    </row>
  </sheetData>
  <mergeCells count="1">
    <mergeCell ref="A1:G1"/>
  </mergeCells>
  <dataValidations count="1">
    <dataValidation sqref="G3:G8" showDropDown="0" showInputMessage="0" showErrorMessage="0" allowBlank="1" type="list">
      <formula1>"已完成,进行中,待启动"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f37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36" t="inlineStr">
        <is>
          <t>AI短剧宣发 · 预算跟踪表</t>
        </is>
      </c>
    </row>
    <row r="2">
      <c r="A2" s="18" t="inlineStr">
        <is>
          <t>序号</t>
        </is>
      </c>
      <c r="B2" s="18" t="inlineStr">
        <is>
          <t>预算科目</t>
        </is>
      </c>
      <c r="C2" s="18" t="inlineStr">
        <is>
          <t>预算金额(元)</t>
        </is>
      </c>
      <c r="D2" s="18" t="inlineStr">
        <is>
          <t>已用金额(元)</t>
        </is>
      </c>
      <c r="E2" s="18" t="inlineStr">
        <is>
          <t>剩余金额(元)</t>
        </is>
      </c>
      <c r="F2" s="18" t="inlineStr">
        <is>
          <t>使用率</t>
        </is>
      </c>
    </row>
    <row r="3">
      <c r="A3" s="37" t="n">
        <v>1</v>
      </c>
      <c r="B3" s="38" t="inlineStr">
        <is>
          <t>物料制作（海报/预告/剧照）</t>
        </is>
      </c>
      <c r="C3" s="28" t="n">
        <v>80000</v>
      </c>
      <c r="D3" s="28" t="n">
        <v>65000</v>
      </c>
      <c r="E3" s="39">
        <f>C3-D3</f>
        <v/>
      </c>
      <c r="F3" s="40">
        <f>IF(C3&gt;0,D3/C3,0)</f>
        <v/>
      </c>
    </row>
    <row r="4">
      <c r="A4" s="41" t="n">
        <v>2</v>
      </c>
      <c r="B4" s="42" t="inlineStr">
        <is>
          <t>KOL/达人合作</t>
        </is>
      </c>
      <c r="C4" s="29" t="n">
        <v>60000</v>
      </c>
      <c r="D4" s="29" t="n">
        <v>28000</v>
      </c>
      <c r="E4" s="43">
        <f>C4-D4</f>
        <v/>
      </c>
      <c r="F4" s="44">
        <f>IF(C4&gt;0,D4/C4,0)</f>
        <v/>
      </c>
    </row>
    <row r="5">
      <c r="A5" s="37" t="n">
        <v>3</v>
      </c>
      <c r="B5" s="38" t="inlineStr">
        <is>
          <t>信息流广告投放</t>
        </is>
      </c>
      <c r="C5" s="28" t="n">
        <v>100000</v>
      </c>
      <c r="D5" s="28" t="n">
        <v>35000</v>
      </c>
      <c r="E5" s="39">
        <f>C5-D5</f>
        <v/>
      </c>
      <c r="F5" s="40">
        <f>IF(C5&gt;0,D5/C5,0)</f>
        <v/>
      </c>
    </row>
    <row r="6">
      <c r="A6" s="41" t="n">
        <v>4</v>
      </c>
      <c r="B6" s="42" t="inlineStr">
        <is>
          <t>线下活动（发布会/首映礼）</t>
        </is>
      </c>
      <c r="C6" s="29" t="n">
        <v>50000</v>
      </c>
      <c r="D6" s="29" t="n">
        <v>15000</v>
      </c>
      <c r="E6" s="43">
        <f>C6-D6</f>
        <v/>
      </c>
      <c r="F6" s="44">
        <f>IF(C6&gt;0,D6/C6,0)</f>
        <v/>
      </c>
    </row>
    <row r="7">
      <c r="A7" s="37" t="n">
        <v>5</v>
      </c>
      <c r="B7" s="38" t="inlineStr">
        <is>
          <t>平台推广合作</t>
        </is>
      </c>
      <c r="C7" s="28" t="n">
        <v>40000</v>
      </c>
      <c r="D7" s="28" t="n">
        <v>40000</v>
      </c>
      <c r="E7" s="45">
        <f>C7-D7</f>
        <v/>
      </c>
      <c r="F7" s="40">
        <f>IF(C7&gt;0,D7/C7,0)</f>
        <v/>
      </c>
    </row>
    <row r="8">
      <c r="A8" s="41" t="n">
        <v>6</v>
      </c>
      <c r="B8" s="42" t="inlineStr">
        <is>
          <t>周边及衍生品</t>
        </is>
      </c>
      <c r="C8" s="29" t="n">
        <v>20000</v>
      </c>
      <c r="D8" s="29" t="n">
        <v>5000</v>
      </c>
      <c r="E8" s="43">
        <f>C8-D8</f>
        <v/>
      </c>
      <c r="F8" s="44">
        <f>IF(C8&gt;0,D8/C8,0)</f>
        <v/>
      </c>
    </row>
    <row r="9">
      <c r="A9" s="46" t="inlineStr">
        <is>
          <t>合计</t>
        </is>
      </c>
      <c r="B9" s="47" t="n"/>
      <c r="C9" s="31">
        <f>SUM(C3:C8)</f>
        <v/>
      </c>
      <c r="D9" s="31">
        <f>SUM(D3:D8)</f>
        <v/>
      </c>
      <c r="E9" s="48">
        <f>E8</f>
        <v/>
      </c>
      <c r="F9" s="49">
        <f>IF(C9&gt;0,D9/C9,0)</f>
        <v/>
      </c>
    </row>
  </sheetData>
  <mergeCells count="2">
    <mergeCell ref="A9:B9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9456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2" customHeight="1">
      <c r="A1" s="17" t="inlineStr">
        <is>
          <t>AI短剧宣发 · 宣传数据指标</t>
        </is>
      </c>
    </row>
    <row r="2">
      <c r="A2" s="18" t="inlineStr">
        <is>
          <t>序号</t>
        </is>
      </c>
      <c r="B2" s="18" t="inlineStr">
        <is>
          <t>指标名称</t>
        </is>
      </c>
      <c r="C2" s="18" t="inlineStr">
        <is>
          <t>当前值</t>
        </is>
      </c>
      <c r="D2" s="18" t="inlineStr">
        <is>
          <t>目标值</t>
        </is>
      </c>
      <c r="E2" s="18" t="inlineStr">
        <is>
          <t>完成率</t>
        </is>
      </c>
      <c r="F2" s="18" t="inlineStr">
        <is>
          <t>趋势</t>
        </is>
      </c>
    </row>
    <row r="3">
      <c r="A3" s="12" t="n">
        <v>1</v>
      </c>
      <c r="B3" s="12" t="inlineStr">
        <is>
          <t>话题总阅读量</t>
        </is>
      </c>
      <c r="C3" s="12" t="inlineStr">
        <is>
          <t>2.3亿</t>
        </is>
      </c>
      <c r="D3" s="12" t="inlineStr">
        <is>
          <t>5亿</t>
        </is>
      </c>
      <c r="E3" s="40" t="n">
        <v>0.46</v>
      </c>
      <c r="F3" s="50" t="inlineStr">
        <is>
          <t>↑ +35%</t>
        </is>
      </c>
    </row>
    <row r="4">
      <c r="A4" s="14" t="n">
        <v>2</v>
      </c>
      <c r="B4" s="14" t="inlineStr">
        <is>
          <t>讨论互动量</t>
        </is>
      </c>
      <c r="C4" s="14" t="inlineStr">
        <is>
          <t>18.6万</t>
        </is>
      </c>
      <c r="D4" s="14" t="inlineStr">
        <is>
          <t>50万</t>
        </is>
      </c>
      <c r="E4" s="44" t="n">
        <v>0.372</v>
      </c>
      <c r="F4" s="51" t="inlineStr">
        <is>
          <t>↑ +22%</t>
        </is>
      </c>
    </row>
    <row r="5">
      <c r="A5" s="12" t="n">
        <v>3</v>
      </c>
      <c r="B5" s="12" t="inlineStr">
        <is>
          <t>官微粉丝数</t>
        </is>
      </c>
      <c r="C5" s="12" t="inlineStr">
        <is>
          <t>8.2万</t>
        </is>
      </c>
      <c r="D5" s="12" t="inlineStr">
        <is>
          <t>15万</t>
        </is>
      </c>
      <c r="E5" s="40" t="n">
        <v>0.547</v>
      </c>
      <c r="F5" s="50" t="inlineStr">
        <is>
          <t>↑ +12.5%</t>
        </is>
      </c>
    </row>
    <row r="6">
      <c r="A6" s="14" t="n">
        <v>4</v>
      </c>
      <c r="B6" s="14" t="inlineStr">
        <is>
          <t>微博热搜次数</t>
        </is>
      </c>
      <c r="C6" s="14" t="inlineStr">
        <is>
          <t>23次</t>
        </is>
      </c>
      <c r="D6" s="14" t="inlineStr">
        <is>
          <t>30次</t>
        </is>
      </c>
      <c r="E6" s="44" t="n">
        <v>0.767</v>
      </c>
      <c r="F6" s="51" t="inlineStr">
        <is>
          <t>↑ +3次</t>
        </is>
      </c>
    </row>
    <row r="7">
      <c r="A7" s="12" t="n">
        <v>5</v>
      </c>
      <c r="B7" s="12" t="inlineStr">
        <is>
          <t>预告片播放量</t>
        </is>
      </c>
      <c r="C7" s="12" t="inlineStr">
        <is>
          <t>420万</t>
        </is>
      </c>
      <c r="D7" s="12" t="inlineStr">
        <is>
          <t>1000万</t>
        </is>
      </c>
      <c r="E7" s="40" t="n">
        <v>0.42</v>
      </c>
      <c r="F7" s="50" t="inlineStr">
        <is>
          <t>↑ +180%</t>
        </is>
      </c>
    </row>
    <row r="8">
      <c r="A8" s="14" t="n">
        <v>6</v>
      </c>
      <c r="B8" s="14" t="inlineStr">
        <is>
          <t>KOL合作曝光</t>
        </is>
      </c>
      <c r="C8" s="14" t="inlineStr">
        <is>
          <t>350万</t>
        </is>
      </c>
      <c r="D8" s="14" t="inlineStr">
        <is>
          <t>800万</t>
        </is>
      </c>
      <c r="E8" s="44" t="n">
        <v>0.438</v>
      </c>
      <c r="F8" s="51" t="inlineStr">
        <is>
          <t>↑ +65%</t>
        </is>
      </c>
    </row>
    <row r="9">
      <c r="A9" s="12" t="n">
        <v>7</v>
      </c>
      <c r="B9" s="12" t="inlineStr">
        <is>
          <t>品牌认知度</t>
        </is>
      </c>
      <c r="C9" s="12" t="inlineStr">
        <is>
          <t>85%</t>
        </is>
      </c>
      <c r="D9" s="12" t="inlineStr">
        <is>
          <t>90%</t>
        </is>
      </c>
      <c r="E9" s="40" t="n">
        <v>0.944</v>
      </c>
      <c r="F9" s="50" t="inlineStr">
        <is>
          <t>↑ +15pp</t>
        </is>
      </c>
    </row>
    <row r="10">
      <c r="A10" s="14" t="n">
        <v>8</v>
      </c>
      <c r="B10" s="14" t="inlineStr">
        <is>
          <t>正片播放量</t>
        </is>
      </c>
      <c r="C10" s="14" t="inlineStr">
        <is>
          <t>0</t>
        </is>
      </c>
      <c r="D10" s="14" t="inlineStr">
        <is>
          <t>300万</t>
        </is>
      </c>
      <c r="E10" s="44" t="n">
        <v>0</v>
      </c>
      <c r="F10" s="52" t="inlineStr">
        <is>
          <t>待上线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2026-07-20T04:41:03Z</dcterms:created>
  <dcterms:modified xmlns:dcterms="http://purl.org/dc/terms/" xmlns:xsi="http://www.w3.org/2001/XMLSchema-instance" xsi:type="dcterms:W3CDTF">2026-07-20T04:41:04Z</dcterms:modified>
</cp:coreProperties>
</file>